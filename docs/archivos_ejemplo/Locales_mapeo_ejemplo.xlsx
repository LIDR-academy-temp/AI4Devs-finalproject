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/desarrollo/2026/pinto/docs/"/>
    </mc:Choice>
  </mc:AlternateContent>
  <xr:revisionPtr revIDLastSave="0" documentId="8_{FBD59FBD-B50F-F94D-9D5E-AEBE0DA04EE7}" xr6:coauthVersionLast="47" xr6:coauthVersionMax="47" xr10:uidLastSave="{00000000-0000-0000-0000-000000000000}"/>
  <bookViews>
    <workbookView xWindow="1180" yWindow="1600" windowWidth="27240" windowHeight="15660" xr2:uid="{06827BD3-E40B-8D49-B780-0B268B950852}"/>
  </bookViews>
  <sheets>
    <sheet name="LOCALES" sheetId="1" r:id="rId1"/>
    <sheet name="CUENTA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2" l="1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<sst xmlns="http://schemas.openxmlformats.org/spreadsheetml/2006/main" count="121" uniqueCount="92">
  <si>
    <t>COD LOCAL</t>
  </si>
  <si>
    <t>Columna1</t>
  </si>
  <si>
    <t>Columna2</t>
  </si>
  <si>
    <t>ALM. BOSQUE</t>
  </si>
  <si>
    <t>ALM. CONDADO</t>
  </si>
  <si>
    <t>ALM. CORAL TUMBACO</t>
  </si>
  <si>
    <t>ALM. HIPER DAULE</t>
  </si>
  <si>
    <t>ALM. LA PLAZA IBARRA</t>
  </si>
  <si>
    <t>ALM. MALL DEL PACIFICO</t>
  </si>
  <si>
    <t>ALM. MALL DEL RIO CUE</t>
  </si>
  <si>
    <t>ALM. MALL DEL RIO GYE</t>
  </si>
  <si>
    <t>ALM. MALL DEL SOL</t>
  </si>
  <si>
    <t>ALM. MALL EL JARDIN</t>
  </si>
  <si>
    <t>ALM. MALTERIA</t>
  </si>
  <si>
    <t>ALM. PASEO DURAN</t>
  </si>
  <si>
    <t>ALM. PASEO MANTA</t>
  </si>
  <si>
    <t>ALM. PASEO PORTOVIEJO</t>
  </si>
  <si>
    <t>ALM. PINTO EN LINEA</t>
  </si>
  <si>
    <t>ALM. PORTAL</t>
  </si>
  <si>
    <t>ALM. PURUHA</t>
  </si>
  <si>
    <t>ALM. QUICENTRO SUR</t>
  </si>
  <si>
    <t>ALM. QUICENTRO NORTE</t>
  </si>
  <si>
    <t>ALM. RECREO</t>
  </si>
  <si>
    <t>ALM. RIO 6 DE DICIEMBRE</t>
  </si>
  <si>
    <t>ALM. RIO CEIBOS</t>
  </si>
  <si>
    <t>ALM. RIO DORADO</t>
  </si>
  <si>
    <t>ALM. RIO ENTRERIOS</t>
  </si>
  <si>
    <t>ALM. RIO NORTE</t>
  </si>
  <si>
    <t>ALM. RIO SUR</t>
  </si>
  <si>
    <t>ALM. SAN LUIS</t>
  </si>
  <si>
    <t>ALM. SAN MARINO</t>
  </si>
  <si>
    <t>ALM. SCALA</t>
  </si>
  <si>
    <t>ALM. UNICENTRO</t>
  </si>
  <si>
    <t>ALMACEN</t>
  </si>
  <si>
    <t>CUNETAS</t>
  </si>
  <si>
    <t>CUNETAS2</t>
  </si>
  <si>
    <t xml:space="preserve">EL CONDADO     </t>
  </si>
  <si>
    <t>1101-01-1216-001</t>
  </si>
  <si>
    <t xml:space="preserve">AMBATO         </t>
  </si>
  <si>
    <t>1101-01-1231-001</t>
  </si>
  <si>
    <t xml:space="preserve">EL DORADO      </t>
  </si>
  <si>
    <t>1101-01-2157-001</t>
  </si>
  <si>
    <t xml:space="preserve">RECREO         </t>
  </si>
  <si>
    <t>1101-01-1204-001</t>
  </si>
  <si>
    <t xml:space="preserve">JARDIN-QUITO   </t>
  </si>
  <si>
    <t>1101-01-1202-001</t>
  </si>
  <si>
    <t xml:space="preserve">CUENCA         </t>
  </si>
  <si>
    <t>1101-01-1245-001</t>
  </si>
  <si>
    <t xml:space="preserve">MANTA-TERMINAL </t>
  </si>
  <si>
    <t>1101-01-2167-001</t>
  </si>
  <si>
    <t xml:space="preserve">SAN LUIS       </t>
  </si>
  <si>
    <t>1101-01-1217-001</t>
  </si>
  <si>
    <t>QUICENTRO2-QUIT</t>
  </si>
  <si>
    <t>1101-01-1205-001</t>
  </si>
  <si>
    <t xml:space="preserve">QUICENTRO SUR  </t>
  </si>
  <si>
    <t>1101-01-1235-001</t>
  </si>
  <si>
    <t xml:space="preserve">RIVER MALL     </t>
  </si>
  <si>
    <t>1101-01-1269-001</t>
  </si>
  <si>
    <t xml:space="preserve">MALL PACIFICO  </t>
  </si>
  <si>
    <t>1101-01-2156-001</t>
  </si>
  <si>
    <t xml:space="preserve">LAGUNA MALL    </t>
  </si>
  <si>
    <t>1101-01-1268-001</t>
  </si>
  <si>
    <t xml:space="preserve">M. EL SOL-GYQL </t>
  </si>
  <si>
    <t>1101-01-2101-001</t>
  </si>
  <si>
    <t xml:space="preserve">UNICENTRO      </t>
  </si>
  <si>
    <t>1101-01-2171-001</t>
  </si>
  <si>
    <t xml:space="preserve">RIOCENTRO SUR  </t>
  </si>
  <si>
    <t>1101-01-2159-001</t>
  </si>
  <si>
    <t xml:space="preserve">IBARRA         </t>
  </si>
  <si>
    <t>1101-01-2161-001</t>
  </si>
  <si>
    <t xml:space="preserve">MANTA          </t>
  </si>
  <si>
    <t>1101-01-2117-001</t>
  </si>
  <si>
    <t xml:space="preserve">M. DEL RIO-GYE </t>
  </si>
  <si>
    <t>1101-01-2163-001</t>
  </si>
  <si>
    <t>SAN MARINO-GYQL</t>
  </si>
  <si>
    <t>1101-01-2107-001</t>
  </si>
  <si>
    <t xml:space="preserve">BOSQUE         </t>
  </si>
  <si>
    <t>1101-01-1201-001</t>
  </si>
  <si>
    <t xml:space="preserve">EL PORTAL      </t>
  </si>
  <si>
    <t>1101-01-2160-001</t>
  </si>
  <si>
    <t xml:space="preserve">PORTOVIEJO     </t>
  </si>
  <si>
    <t>1101-01-2144-001</t>
  </si>
  <si>
    <t>RIOCENTRO 6 DIC</t>
  </si>
  <si>
    <t>1101-01-1265-001</t>
  </si>
  <si>
    <t xml:space="preserve">CEIBOS         </t>
  </si>
  <si>
    <t>1101-01-2114-001</t>
  </si>
  <si>
    <t xml:space="preserve">SCALA          </t>
  </si>
  <si>
    <t>1101-01-1247-001</t>
  </si>
  <si>
    <t xml:space="preserve">ENTRE RIOS     </t>
  </si>
  <si>
    <t>1101-01-2153-001</t>
  </si>
  <si>
    <t>EN LINEA</t>
  </si>
  <si>
    <t>1101-01-1229-001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</si>
</sst>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8"/>
      <color indexed="6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8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  <dxf>
      <font>
        <strike val="0"/>
        <outline val="0"/>
        <shadow val="0"/>
        <u val="none"/>
        <vertAlign val="baseline"/>
        <sz val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Calibri"/>
        <scheme val="minor"/>
      </font>
      <fill>
        <patternFill patternType="solid">
          <fgColor indexed="64"/>
          <bgColor indexed="2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numFmt numFmtId="0" formatCode="General"/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Calibri"/>
        <scheme val="minor"/>
      </font>
      <fill>
        <patternFill patternType="solid">
          <fgColor indexed="64"/>
          <bgColor indexed="2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067B4-399A-F344-A15A-1482CA89FF0D}" name="LOCALES" displayName="LOCALES" ref="A1:C31" totalsRowShown="0" headerRowDxfId="11" headerRowBorderDxfId="9" tableBorderDxfId="10">
  <tableColumns count="3">
    <tableColumn id="1" xr3:uid="{8DA1C754-7450-7F4E-B8F4-7DB57A919940}" name="COD LOCAL"/>
    <tableColumn id="2" xr3:uid="{5B197808-813D-0A45-BBC2-8881FA7573A8}" name="Columna1"/>
    <tableColumn id="3" xr3:uid="{6680B3F4-6B36-AE46-B5C0-E2162E9C1A8F}" name="Columna2" dataDxfId="8">
      <calculatedColumnFormula>+LOCALES[[#This Row],[COD LOCAL]]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4CB6A5-ED0F-D141-9325-63EC40C9EDE0}" name="CUENTAS" displayName="CUENTAS" ref="A1:D29" totalsRowShown="0" headerRowDxfId="7" dataDxfId="6" headerRowBorderDxfId="4" tableBorderDxfId="5">
  <autoFilter ref="A1:D29" xr:uid="{00000000-0009-0000-0100-00000B000000}"/>
  <tableColumns count="4">
    <tableColumn id="1" xr3:uid="{6BE4EF29-6FAF-9646-9815-5210622F38B7}" name="ALMACEN" dataDxfId="3"/>
    <tableColumn id="2" xr3:uid="{331DC1EE-3DC5-7245-AF83-4B67ECCB8558}" name="CUNETAS" dataDxfId="2"/>
    <tableColumn id="3" xr3:uid="{BF066850-8970-AD41-BAD1-ABED77BD2E9D}" name="Columna1" dataDxfId="1">
      <calculatedColumnFormula>+TRIM(CUENTAS[[#This Row],[ALMACEN]])</calculatedColumnFormula>
    </tableColumn>
    <tableColumn id="4" xr3:uid="{79037133-1D84-224E-8122-D43BA5D2521C}" name="CUNETAS2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F52D-39BD-6242-AA36-079354A184F3}">
  <dimension ref="A1:C31"/>
  <sheetViews>
    <sheetView tabSelected="1" workbookViewId="0">
      <selection activeCell="B1" sqref="B1"/>
    </sheetView>
  </sheetViews>
  <sheetFormatPr baseColWidth="10" defaultRowHeight="13" x14ac:dyDescent="0.15"/>
  <cols>
    <col min="1" max="1" width="10.5" customWidth="1"/>
    <col min="2" max="2" width="25.164062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2920018</v>
      </c>
      <c r="B2" t="s">
        <v>3</v>
      </c>
      <c r="C2">
        <f>+LOCALES[[#This Row],[COD LOCAL]]</f>
        <v>2920018</v>
      </c>
    </row>
    <row r="3" spans="1:3" x14ac:dyDescent="0.15">
      <c r="A3">
        <v>1210873</v>
      </c>
      <c r="B3" t="s">
        <v>4</v>
      </c>
      <c r="C3">
        <f>+LOCALES[[#This Row],[COD LOCAL]]</f>
        <v>1210873</v>
      </c>
    </row>
    <row r="4" spans="1:3" x14ac:dyDescent="0.15">
      <c r="A4">
        <v>3161142</v>
      </c>
      <c r="B4" t="s">
        <v>5</v>
      </c>
      <c r="C4">
        <f>+LOCALES[[#This Row],[COD LOCAL]]</f>
        <v>3161142</v>
      </c>
    </row>
    <row r="5" spans="1:3" x14ac:dyDescent="0.15">
      <c r="A5">
        <v>3228503</v>
      </c>
      <c r="B5" t="s">
        <v>6</v>
      </c>
      <c r="C5">
        <f>+LOCALES[[#This Row],[COD LOCAL]]</f>
        <v>3228503</v>
      </c>
    </row>
    <row r="6" spans="1:3" x14ac:dyDescent="0.15">
      <c r="A6">
        <v>2241258</v>
      </c>
      <c r="B6" t="s">
        <v>7</v>
      </c>
      <c r="C6">
        <f>+LOCALES[[#This Row],[COD LOCAL]]</f>
        <v>2241258</v>
      </c>
    </row>
    <row r="7" spans="1:3" x14ac:dyDescent="0.15">
      <c r="A7">
        <v>1807942</v>
      </c>
      <c r="B7" t="s">
        <v>8</v>
      </c>
      <c r="C7">
        <f>+LOCALES[[#This Row],[COD LOCAL]]</f>
        <v>1807942</v>
      </c>
    </row>
    <row r="8" spans="1:3" x14ac:dyDescent="0.15">
      <c r="A8">
        <v>1447137</v>
      </c>
      <c r="B8" t="s">
        <v>9</v>
      </c>
      <c r="C8">
        <f>+LOCALES[[#This Row],[COD LOCAL]]</f>
        <v>1447137</v>
      </c>
    </row>
    <row r="9" spans="1:3" x14ac:dyDescent="0.15">
      <c r="A9">
        <v>2571613</v>
      </c>
      <c r="B9" t="s">
        <v>10</v>
      </c>
      <c r="C9">
        <f>+LOCALES[[#This Row],[COD LOCAL]]</f>
        <v>2571613</v>
      </c>
    </row>
    <row r="10" spans="1:3" x14ac:dyDescent="0.15">
      <c r="A10">
        <v>450552</v>
      </c>
      <c r="B10" t="s">
        <v>11</v>
      </c>
      <c r="C10">
        <f>+LOCALES[[#This Row],[COD LOCAL]]</f>
        <v>450552</v>
      </c>
    </row>
    <row r="11" spans="1:3" x14ac:dyDescent="0.15">
      <c r="A11">
        <v>450404</v>
      </c>
      <c r="B11" t="s">
        <v>12</v>
      </c>
      <c r="C11">
        <f>+LOCALES[[#This Row],[COD LOCAL]]</f>
        <v>450404</v>
      </c>
    </row>
    <row r="12" spans="1:3" x14ac:dyDescent="0.15">
      <c r="A12">
        <v>3537770</v>
      </c>
      <c r="B12" t="s">
        <v>13</v>
      </c>
      <c r="C12">
        <f>+LOCALES[[#This Row],[COD LOCAL]]</f>
        <v>3537770</v>
      </c>
    </row>
    <row r="13" spans="1:3" x14ac:dyDescent="0.15">
      <c r="A13">
        <v>3576364</v>
      </c>
      <c r="B13" t="s">
        <v>14</v>
      </c>
      <c r="C13">
        <f>+LOCALES[[#This Row],[COD LOCAL]]</f>
        <v>3576364</v>
      </c>
    </row>
    <row r="14" spans="1:3" x14ac:dyDescent="0.15">
      <c r="A14">
        <v>1422205</v>
      </c>
      <c r="B14" t="s">
        <v>15</v>
      </c>
      <c r="C14">
        <f>+LOCALES[[#This Row],[COD LOCAL]]</f>
        <v>1422205</v>
      </c>
    </row>
    <row r="15" spans="1:3" x14ac:dyDescent="0.15">
      <c r="A15">
        <v>1435769</v>
      </c>
      <c r="B15" t="s">
        <v>16</v>
      </c>
      <c r="C15">
        <f>+LOCALES[[#This Row],[COD LOCAL]]</f>
        <v>1435769</v>
      </c>
    </row>
    <row r="16" spans="1:3" x14ac:dyDescent="0.15">
      <c r="A16">
        <v>1768482</v>
      </c>
      <c r="B16" t="s">
        <v>17</v>
      </c>
      <c r="C16">
        <f>+LOCALES[[#This Row],[COD LOCAL]]</f>
        <v>1768482</v>
      </c>
    </row>
    <row r="17" spans="1:3" x14ac:dyDescent="0.15">
      <c r="A17">
        <v>2192659</v>
      </c>
      <c r="B17" t="s">
        <v>18</v>
      </c>
      <c r="C17">
        <f>+LOCALES[[#This Row],[COD LOCAL]]</f>
        <v>2192659</v>
      </c>
    </row>
    <row r="18" spans="1:3" x14ac:dyDescent="0.15">
      <c r="A18">
        <v>3397209</v>
      </c>
      <c r="B18" t="s">
        <v>19</v>
      </c>
      <c r="C18">
        <f>+LOCALES[[#This Row],[COD LOCAL]]</f>
        <v>3397209</v>
      </c>
    </row>
    <row r="19" spans="1:3" x14ac:dyDescent="0.15">
      <c r="A19">
        <v>1341926</v>
      </c>
      <c r="B19" t="s">
        <v>20</v>
      </c>
      <c r="C19">
        <f>+LOCALES[[#This Row],[COD LOCAL]]</f>
        <v>1341926</v>
      </c>
    </row>
    <row r="20" spans="1:3" x14ac:dyDescent="0.15">
      <c r="A20">
        <v>450529</v>
      </c>
      <c r="B20" t="s">
        <v>21</v>
      </c>
      <c r="C20">
        <f>+LOCALES[[#This Row],[COD LOCAL]]</f>
        <v>450529</v>
      </c>
    </row>
    <row r="21" spans="1:3" x14ac:dyDescent="0.15">
      <c r="A21">
        <v>1315516</v>
      </c>
      <c r="B21" t="s">
        <v>22</v>
      </c>
      <c r="C21">
        <f>+LOCALES[[#This Row],[COD LOCAL]]</f>
        <v>1315516</v>
      </c>
    </row>
    <row r="22" spans="1:3" x14ac:dyDescent="0.15">
      <c r="A22">
        <v>2761735</v>
      </c>
      <c r="B22" t="s">
        <v>23</v>
      </c>
      <c r="C22">
        <f>+LOCALES[[#This Row],[COD LOCAL]]</f>
        <v>2761735</v>
      </c>
    </row>
    <row r="23" spans="1:3" x14ac:dyDescent="0.15">
      <c r="A23">
        <v>1454463</v>
      </c>
      <c r="B23" t="s">
        <v>24</v>
      </c>
      <c r="C23">
        <f>+LOCALES[[#This Row],[COD LOCAL]]</f>
        <v>1454463</v>
      </c>
    </row>
    <row r="24" spans="1:3" x14ac:dyDescent="0.15">
      <c r="A24">
        <v>1913054</v>
      </c>
      <c r="B24" t="s">
        <v>25</v>
      </c>
      <c r="C24">
        <f>+LOCALES[[#This Row],[COD LOCAL]]</f>
        <v>1913054</v>
      </c>
    </row>
    <row r="25" spans="1:3" x14ac:dyDescent="0.15">
      <c r="A25">
        <v>1500158</v>
      </c>
      <c r="B25" t="s">
        <v>26</v>
      </c>
      <c r="C25">
        <f>+LOCALES[[#This Row],[COD LOCAL]]</f>
        <v>1500158</v>
      </c>
    </row>
    <row r="26" spans="1:3" x14ac:dyDescent="0.15">
      <c r="A26">
        <v>3333261</v>
      </c>
      <c r="B26" t="s">
        <v>27</v>
      </c>
      <c r="C26">
        <f>+LOCALES[[#This Row],[COD LOCAL]]</f>
        <v>3333261</v>
      </c>
    </row>
    <row r="27" spans="1:3" x14ac:dyDescent="0.15">
      <c r="A27">
        <v>2144122</v>
      </c>
      <c r="B27" t="s">
        <v>28</v>
      </c>
      <c r="C27">
        <f>+LOCALES[[#This Row],[COD LOCAL]]</f>
        <v>2144122</v>
      </c>
    </row>
    <row r="28" spans="1:3" x14ac:dyDescent="0.15">
      <c r="A28">
        <v>1332040</v>
      </c>
      <c r="B28" t="s">
        <v>29</v>
      </c>
      <c r="C28">
        <f>+LOCALES[[#This Row],[COD LOCAL]]</f>
        <v>1332040</v>
      </c>
    </row>
    <row r="29" spans="1:3" x14ac:dyDescent="0.15">
      <c r="A29">
        <v>521675</v>
      </c>
      <c r="B29" t="s">
        <v>30</v>
      </c>
      <c r="C29">
        <f>+LOCALES[[#This Row],[COD LOCAL]]</f>
        <v>521675</v>
      </c>
    </row>
    <row r="30" spans="1:3" x14ac:dyDescent="0.15">
      <c r="A30">
        <v>1454455</v>
      </c>
      <c r="B30" t="s">
        <v>31</v>
      </c>
      <c r="C30">
        <f>+LOCALES[[#This Row],[COD LOCAL]]</f>
        <v>1454455</v>
      </c>
    </row>
    <row r="31" spans="1:3" x14ac:dyDescent="0.15">
      <c r="A31">
        <v>2955949</v>
      </c>
      <c r="B31" t="s">
        <v>32</v>
      </c>
      <c r="C31">
        <f>+LOCALES[[#This Row],[COD LOCAL]]</f>
        <v>2955949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F547-2F0F-DE46-BAA0-BDC63C0D5EA9}">
  <dimension ref="A1:D29"/>
  <sheetViews>
    <sheetView showGridLines="0" topLeftCell="A13" workbookViewId="0">
      <selection activeCell="B2" sqref="B2"/>
    </sheetView>
  </sheetViews>
  <sheetFormatPr baseColWidth="10" defaultRowHeight="13" x14ac:dyDescent="0.15"/>
  <cols>
    <col min="1" max="1" width="13.1640625" bestFit="1" customWidth="1"/>
    <col min="2" max="2" width="13.5" bestFit="1" customWidth="1"/>
    <col min="3" max="3" width="13.1640625" bestFit="1" customWidth="1"/>
    <col min="4" max="4" width="13.5" bestFit="1" customWidth="1"/>
  </cols>
  <sheetData>
    <row r="1" spans="1:4" x14ac:dyDescent="0.15">
      <c r="A1" s="1" t="s">
        <v>33</v>
      </c>
      <c r="B1" s="1" t="s">
        <v>34</v>
      </c>
      <c r="C1" s="1" t="s">
        <v>1</v>
      </c>
      <c r="D1" s="1" t="s">
        <v>35</v>
      </c>
    </row>
    <row r="2" spans="1:4" x14ac:dyDescent="0.15">
      <c r="A2" s="2" t="s">
        <v>36</v>
      </c>
      <c r="B2" s="2" t="s">
        <v>37</v>
      </c>
      <c r="C2" s="2" t="str">
        <f>+TRIM(CUENTAS[[#This Row],[ALMACEN]])</f>
        <v>EL CONDADO</v>
      </c>
      <c r="D2" s="2" t="s">
        <v>37</v>
      </c>
    </row>
    <row r="3" spans="1:4" x14ac:dyDescent="0.15">
      <c r="A3" s="2" t="s">
        <v>38</v>
      </c>
      <c r="B3" s="2" t="s">
        <v>39</v>
      </c>
      <c r="C3" s="2" t="str">
        <f>+TRIM(CUENTAS[[#This Row],[ALMACEN]])</f>
        <v>AMBATO</v>
      </c>
      <c r="D3" s="2" t="s">
        <v>39</v>
      </c>
    </row>
    <row r="4" spans="1:4" x14ac:dyDescent="0.15">
      <c r="A4" s="2" t="s">
        <v>40</v>
      </c>
      <c r="B4" s="2" t="s">
        <v>41</v>
      </c>
      <c r="C4" s="2" t="str">
        <f>+TRIM(CUENTAS[[#This Row],[ALMACEN]])</f>
        <v>EL DORADO</v>
      </c>
      <c r="D4" s="2" t="s">
        <v>41</v>
      </c>
    </row>
    <row r="5" spans="1:4" x14ac:dyDescent="0.15">
      <c r="A5" s="2" t="s">
        <v>42</v>
      </c>
      <c r="B5" s="2" t="s">
        <v>43</v>
      </c>
      <c r="C5" s="2" t="str">
        <f>+TRIM(CUENTAS[[#This Row],[ALMACEN]])</f>
        <v>RECREO</v>
      </c>
      <c r="D5" s="2" t="s">
        <v>43</v>
      </c>
    </row>
    <row r="6" spans="1:4" x14ac:dyDescent="0.15">
      <c r="A6" s="2" t="s">
        <v>44</v>
      </c>
      <c r="B6" s="2" t="s">
        <v>45</v>
      </c>
      <c r="C6" s="2" t="str">
        <f>+TRIM(CUENTAS[[#This Row],[ALMACEN]])</f>
        <v>JARDIN-QUITO</v>
      </c>
      <c r="D6" s="2" t="s">
        <v>45</v>
      </c>
    </row>
    <row r="7" spans="1:4" x14ac:dyDescent="0.15">
      <c r="A7" s="2" t="s">
        <v>46</v>
      </c>
      <c r="B7" s="2" t="s">
        <v>47</v>
      </c>
      <c r="C7" s="2" t="str">
        <f>+TRIM(CUENTAS[[#This Row],[ALMACEN]])</f>
        <v>CUENCA</v>
      </c>
      <c r="D7" s="2" t="s">
        <v>47</v>
      </c>
    </row>
    <row r="8" spans="1:4" x14ac:dyDescent="0.15">
      <c r="A8" s="2" t="s">
        <v>48</v>
      </c>
      <c r="B8" s="2" t="s">
        <v>49</v>
      </c>
      <c r="C8" s="2" t="str">
        <f>+TRIM(CUENTAS[[#This Row],[ALMACEN]])</f>
        <v>MANTA-TERMINAL</v>
      </c>
      <c r="D8" s="2" t="s">
        <v>49</v>
      </c>
    </row>
    <row r="9" spans="1:4" x14ac:dyDescent="0.15">
      <c r="A9" s="2" t="s">
        <v>50</v>
      </c>
      <c r="B9" s="2" t="s">
        <v>51</v>
      </c>
      <c r="C9" s="2" t="str">
        <f>+TRIM(CUENTAS[[#This Row],[ALMACEN]])</f>
        <v>SAN LUIS</v>
      </c>
      <c r="D9" s="2" t="s">
        <v>51</v>
      </c>
    </row>
    <row r="10" spans="1:4" x14ac:dyDescent="0.15">
      <c r="A10" s="2" t="s">
        <v>52</v>
      </c>
      <c r="B10" s="2" t="s">
        <v>53</v>
      </c>
      <c r="C10" s="2" t="str">
        <f>+TRIM(CUENTAS[[#This Row],[ALMACEN]])</f>
        <v>QUICENTRO2-QUIT</v>
      </c>
      <c r="D10" s="2" t="s">
        <v>53</v>
      </c>
    </row>
    <row r="11" spans="1:4" x14ac:dyDescent="0.15">
      <c r="A11" s="2" t="s">
        <v>54</v>
      </c>
      <c r="B11" s="2" t="s">
        <v>55</v>
      </c>
      <c r="C11" s="2" t="str">
        <f>+TRIM(CUENTAS[[#This Row],[ALMACEN]])</f>
        <v>QUICENTRO SUR</v>
      </c>
      <c r="D11" s="2" t="s">
        <v>55</v>
      </c>
    </row>
    <row r="12" spans="1:4" x14ac:dyDescent="0.15">
      <c r="A12" s="2" t="s">
        <v>56</v>
      </c>
      <c r="B12" s="2" t="s">
        <v>57</v>
      </c>
      <c r="C12" s="2" t="str">
        <f>+TRIM(CUENTAS[[#This Row],[ALMACEN]])</f>
        <v>RIVER MALL</v>
      </c>
      <c r="D12" s="2" t="s">
        <v>57</v>
      </c>
    </row>
    <row r="13" spans="1:4" x14ac:dyDescent="0.15">
      <c r="A13" s="2" t="s">
        <v>58</v>
      </c>
      <c r="B13" s="2" t="s">
        <v>59</v>
      </c>
      <c r="C13" s="2" t="str">
        <f>+TRIM(CUENTAS[[#This Row],[ALMACEN]])</f>
        <v>MALL PACIFICO</v>
      </c>
      <c r="D13" s="2" t="s">
        <v>59</v>
      </c>
    </row>
    <row r="14" spans="1:4" x14ac:dyDescent="0.15">
      <c r="A14" s="2" t="s">
        <v>60</v>
      </c>
      <c r="B14" s="2" t="s">
        <v>61</v>
      </c>
      <c r="C14" s="2" t="str">
        <f>+TRIM(CUENTAS[[#This Row],[ALMACEN]])</f>
        <v>LAGUNA MALL</v>
      </c>
      <c r="D14" s="2" t="s">
        <v>61</v>
      </c>
    </row>
    <row r="15" spans="1:4" x14ac:dyDescent="0.15">
      <c r="A15" s="2" t="s">
        <v>62</v>
      </c>
      <c r="B15" s="2" t="s">
        <v>63</v>
      </c>
      <c r="C15" s="2" t="str">
        <f>+TRIM(CUENTAS[[#This Row],[ALMACEN]])</f>
        <v>M. EL SOL-GYQL</v>
      </c>
      <c r="D15" s="2" t="s">
        <v>63</v>
      </c>
    </row>
    <row r="16" spans="1:4" x14ac:dyDescent="0.15">
      <c r="A16" s="2" t="s">
        <v>64</v>
      </c>
      <c r="B16" s="2" t="s">
        <v>65</v>
      </c>
      <c r="C16" s="2" t="str">
        <f>+TRIM(CUENTAS[[#This Row],[ALMACEN]])</f>
        <v>UNICENTRO</v>
      </c>
      <c r="D16" s="2" t="s">
        <v>65</v>
      </c>
    </row>
    <row r="17" spans="1:4" x14ac:dyDescent="0.15">
      <c r="A17" s="2" t="s">
        <v>66</v>
      </c>
      <c r="B17" s="2" t="s">
        <v>67</v>
      </c>
      <c r="C17" s="2" t="str">
        <f>+TRIM(CUENTAS[[#This Row],[ALMACEN]])</f>
        <v>RIOCENTRO SUR</v>
      </c>
      <c r="D17" s="2" t="s">
        <v>67</v>
      </c>
    </row>
    <row r="18" spans="1:4" x14ac:dyDescent="0.15">
      <c r="A18" s="2" t="s">
        <v>68</v>
      </c>
      <c r="B18" s="2" t="s">
        <v>69</v>
      </c>
      <c r="C18" s="2" t="str">
        <f>+TRIM(CUENTAS[[#This Row],[ALMACEN]])</f>
        <v>IBARRA</v>
      </c>
      <c r="D18" s="2" t="s">
        <v>69</v>
      </c>
    </row>
    <row r="19" spans="1:4" x14ac:dyDescent="0.15">
      <c r="A19" s="2" t="s">
        <v>70</v>
      </c>
      <c r="B19" s="2" t="s">
        <v>71</v>
      </c>
      <c r="C19" s="2" t="str">
        <f>+TRIM(CUENTAS[[#This Row],[ALMACEN]])</f>
        <v>MANTA</v>
      </c>
      <c r="D19" s="2" t="s">
        <v>71</v>
      </c>
    </row>
    <row r="20" spans="1:4" x14ac:dyDescent="0.15">
      <c r="A20" s="2" t="s">
        <v>72</v>
      </c>
      <c r="B20" s="2" t="s">
        <v>73</v>
      </c>
      <c r="C20" s="2" t="str">
        <f>+TRIM(CUENTAS[[#This Row],[ALMACEN]])</f>
        <v>M. DEL RIO-GYE</v>
      </c>
      <c r="D20" s="2" t="s">
        <v>73</v>
      </c>
    </row>
    <row r="21" spans="1:4" x14ac:dyDescent="0.15">
      <c r="A21" s="2" t="s">
        <v>74</v>
      </c>
      <c r="B21" s="2" t="s">
        <v>75</v>
      </c>
      <c r="C21" s="2" t="str">
        <f>+TRIM(CUENTAS[[#This Row],[ALMACEN]])</f>
        <v>SAN MARINO-GYQL</v>
      </c>
      <c r="D21" s="2" t="s">
        <v>75</v>
      </c>
    </row>
    <row r="22" spans="1:4" x14ac:dyDescent="0.15">
      <c r="A22" s="2" t="s">
        <v>76</v>
      </c>
      <c r="B22" s="2" t="s">
        <v>77</v>
      </c>
      <c r="C22" s="2" t="str">
        <f>+TRIM(CUENTAS[[#This Row],[ALMACEN]])</f>
        <v>BOSQUE</v>
      </c>
      <c r="D22" s="2" t="s">
        <v>77</v>
      </c>
    </row>
    <row r="23" spans="1:4" x14ac:dyDescent="0.15">
      <c r="A23" s="2" t="s">
        <v>78</v>
      </c>
      <c r="B23" s="2" t="s">
        <v>79</v>
      </c>
      <c r="C23" s="2" t="str">
        <f>+TRIM(CUENTAS[[#This Row],[ALMACEN]])</f>
        <v>EL PORTAL</v>
      </c>
      <c r="D23" s="2" t="s">
        <v>79</v>
      </c>
    </row>
    <row r="24" spans="1:4" x14ac:dyDescent="0.15">
      <c r="A24" s="2" t="s">
        <v>80</v>
      </c>
      <c r="B24" s="2" t="s">
        <v>81</v>
      </c>
      <c r="C24" s="2" t="str">
        <f>+TRIM(CUENTAS[[#This Row],[ALMACEN]])</f>
        <v>PORTOVIEJO</v>
      </c>
      <c r="D24" s="2" t="s">
        <v>81</v>
      </c>
    </row>
    <row r="25" spans="1:4" x14ac:dyDescent="0.15">
      <c r="A25" s="2" t="s">
        <v>82</v>
      </c>
      <c r="B25" s="2" t="s">
        <v>83</v>
      </c>
      <c r="C25" s="2" t="str">
        <f>+TRIM(CUENTAS[[#This Row],[ALMACEN]])</f>
        <v>RIOCENTRO 6 DIC</v>
      </c>
      <c r="D25" s="2" t="s">
        <v>83</v>
      </c>
    </row>
    <row r="26" spans="1:4" x14ac:dyDescent="0.15">
      <c r="A26" s="2" t="s">
        <v>84</v>
      </c>
      <c r="B26" s="2" t="s">
        <v>85</v>
      </c>
      <c r="C26" s="2" t="str">
        <f>+TRIM(CUENTAS[[#This Row],[ALMACEN]])</f>
        <v>CEIBOS</v>
      </c>
      <c r="D26" s="2" t="s">
        <v>85</v>
      </c>
    </row>
    <row r="27" spans="1:4" x14ac:dyDescent="0.15">
      <c r="A27" s="2" t="s">
        <v>86</v>
      </c>
      <c r="B27" s="2" t="s">
        <v>87</v>
      </c>
      <c r="C27" s="2" t="str">
        <f>+TRIM(CUENTAS[[#This Row],[ALMACEN]])</f>
        <v>SCALA</v>
      </c>
      <c r="D27" s="2" t="s">
        <v>87</v>
      </c>
    </row>
    <row r="28" spans="1:4" x14ac:dyDescent="0.15">
      <c r="A28" s="2" t="s">
        <v>88</v>
      </c>
      <c r="B28" s="2" t="s">
        <v>89</v>
      </c>
      <c r="C28" s="2" t="str">
        <f>+TRIM(CUENTAS[[#This Row],[ALMACEN]])</f>
        <v>ENTRE RIOS</v>
      </c>
      <c r="D28" s="2" t="s">
        <v>89</v>
      </c>
    </row>
    <row r="29" spans="1:4" x14ac:dyDescent="0.15">
      <c r="A29" s="2" t="s">
        <v>90</v>
      </c>
      <c r="B29" s="2" t="s">
        <v>91</v>
      </c>
      <c r="C29" s="2" t="str">
        <f>+TRIM(CUENTAS[[#This Row],[ALMACEN]])</f>
        <v>EN LINEA</v>
      </c>
      <c r="D29" s="2" t="s">
        <v>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LOCALES</vt:lpstr>
      <vt:lpstr>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Arteaga</dc:creator>
  <cp:lastModifiedBy>Rafael Arteaga</cp:lastModifiedBy>
  <dcterms:created xsi:type="dcterms:W3CDTF">2026-09-14T17:27:45Z</dcterms:created>
  <dcterms:modified xsi:type="dcterms:W3CDTF">2026-09-14T17:28:28Z</dcterms:modified>
</cp:coreProperties>
</file>